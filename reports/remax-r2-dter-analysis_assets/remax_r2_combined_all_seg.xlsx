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boren\code\verl\tmp\inhouse_dter_report\"/>
    </mc:Choice>
  </mc:AlternateContent>
  <xr:revisionPtr revIDLastSave="0" documentId="13_ncr:1_{8DFC53E2-E716-4504-AA5D-4E9E420B938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house_dter" sheetId="1" r:id="rId1"/>
    <sheet name="overall_improve_degrade" sheetId="2" r:id="rId2"/>
  </sheets>
  <definedNames>
    <definedName name="_xlnm._FilterDatabase" localSheetId="1" hidden="1">overall_improve_degrade!$A$2:$H$11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" l="1"/>
  <c r="S26" i="1"/>
  <c r="R26" i="1"/>
  <c r="Q26" i="1"/>
  <c r="O26" i="1"/>
  <c r="P26" i="1"/>
  <c r="N26" i="1"/>
  <c r="M26" i="1"/>
  <c r="L26" i="1"/>
  <c r="T25" i="1"/>
  <c r="S25" i="1"/>
  <c r="R25" i="1"/>
  <c r="Q25" i="1"/>
  <c r="O25" i="1"/>
  <c r="P25" i="1"/>
  <c r="N25" i="1"/>
  <c r="M25" i="1"/>
  <c r="L25" i="1"/>
  <c r="T24" i="1"/>
  <c r="S24" i="1"/>
  <c r="R24" i="1"/>
  <c r="Q24" i="1"/>
  <c r="O24" i="1"/>
  <c r="P24" i="1"/>
  <c r="N24" i="1"/>
  <c r="M24" i="1"/>
  <c r="L24" i="1"/>
  <c r="T22" i="1"/>
  <c r="S22" i="1"/>
  <c r="R22" i="1"/>
  <c r="Q22" i="1"/>
  <c r="O22" i="1"/>
  <c r="P22" i="1"/>
  <c r="N22" i="1"/>
  <c r="M22" i="1"/>
  <c r="L22" i="1"/>
  <c r="T21" i="1"/>
  <c r="S21" i="1"/>
  <c r="R21" i="1"/>
  <c r="Q21" i="1"/>
  <c r="O21" i="1"/>
  <c r="P21" i="1"/>
  <c r="N21" i="1"/>
  <c r="M21" i="1"/>
  <c r="L21" i="1"/>
  <c r="T20" i="1"/>
  <c r="S20" i="1"/>
  <c r="R20" i="1"/>
  <c r="Q20" i="1"/>
  <c r="O20" i="1"/>
  <c r="P20" i="1"/>
  <c r="N20" i="1"/>
  <c r="M20" i="1"/>
  <c r="L20" i="1"/>
  <c r="T18" i="1"/>
  <c r="S18" i="1"/>
  <c r="R18" i="1"/>
  <c r="Q18" i="1"/>
  <c r="O18" i="1"/>
  <c r="P18" i="1"/>
  <c r="N18" i="1"/>
  <c r="M18" i="1"/>
  <c r="L18" i="1"/>
  <c r="T17" i="1"/>
  <c r="S17" i="1"/>
  <c r="R17" i="1"/>
  <c r="Q17" i="1"/>
  <c r="O17" i="1"/>
  <c r="P17" i="1"/>
  <c r="N17" i="1"/>
  <c r="M17" i="1"/>
  <c r="L17" i="1"/>
  <c r="T16" i="1"/>
  <c r="S16" i="1"/>
  <c r="R16" i="1"/>
  <c r="Q16" i="1"/>
  <c r="O16" i="1"/>
  <c r="P16" i="1"/>
  <c r="N16" i="1"/>
  <c r="M16" i="1"/>
  <c r="L16" i="1"/>
  <c r="T14" i="1"/>
  <c r="S14" i="1"/>
  <c r="R14" i="1"/>
  <c r="Q14" i="1"/>
  <c r="O14" i="1"/>
  <c r="P14" i="1"/>
  <c r="N14" i="1"/>
  <c r="M14" i="1"/>
  <c r="L14" i="1"/>
  <c r="T13" i="1"/>
  <c r="S13" i="1"/>
  <c r="R13" i="1"/>
  <c r="Q13" i="1"/>
  <c r="O13" i="1"/>
  <c r="P13" i="1"/>
  <c r="N13" i="1"/>
  <c r="M13" i="1"/>
  <c r="L13" i="1"/>
  <c r="T12" i="1"/>
  <c r="S12" i="1"/>
  <c r="R12" i="1"/>
  <c r="Q12" i="1"/>
  <c r="O12" i="1"/>
  <c r="P12" i="1"/>
  <c r="N12" i="1"/>
  <c r="M12" i="1"/>
  <c r="L12" i="1"/>
  <c r="T10" i="1"/>
  <c r="S10" i="1"/>
  <c r="R10" i="1"/>
  <c r="Q10" i="1"/>
  <c r="O10" i="1"/>
  <c r="P10" i="1"/>
  <c r="N10" i="1"/>
  <c r="M10" i="1"/>
  <c r="L10" i="1"/>
  <c r="T9" i="1"/>
  <c r="S9" i="1"/>
  <c r="R9" i="1"/>
  <c r="Q9" i="1"/>
  <c r="O9" i="1"/>
  <c r="P9" i="1"/>
  <c r="N9" i="1"/>
  <c r="M9" i="1"/>
  <c r="L9" i="1"/>
  <c r="T8" i="1"/>
  <c r="S8" i="1"/>
  <c r="R8" i="1"/>
  <c r="Q8" i="1"/>
  <c r="O8" i="1"/>
  <c r="P8" i="1"/>
  <c r="N8" i="1"/>
  <c r="M8" i="1"/>
  <c r="L8" i="1"/>
  <c r="T6" i="1"/>
  <c r="S6" i="1"/>
  <c r="R6" i="1"/>
  <c r="Q6" i="1"/>
  <c r="O6" i="1"/>
  <c r="P6" i="1"/>
  <c r="N6" i="1"/>
  <c r="M6" i="1"/>
  <c r="L6" i="1"/>
  <c r="T5" i="1"/>
  <c r="S5" i="1"/>
  <c r="R5" i="1"/>
  <c r="Q5" i="1"/>
  <c r="O5" i="1"/>
  <c r="P5" i="1"/>
  <c r="N5" i="1"/>
  <c r="M5" i="1"/>
  <c r="L5" i="1"/>
  <c r="T4" i="1"/>
  <c r="S4" i="1"/>
  <c r="R4" i="1"/>
  <c r="Q4" i="1"/>
  <c r="O4" i="1"/>
  <c r="P4" i="1"/>
  <c r="N4" i="1"/>
  <c r="M4" i="1"/>
  <c r="L4" i="1"/>
</calcChain>
</file>

<file path=xl/sharedStrings.xml><?xml version="1.0" encoding="utf-8"?>
<sst xmlns="http://schemas.openxmlformats.org/spreadsheetml/2006/main" count="101" uniqueCount="77">
  <si>
    <t>Header</t>
  </si>
  <si>
    <t>Baseline</t>
  </si>
  <si>
    <t>remax_r2_punc_p0_7_n12_s200_c1_geo@step200</t>
  </si>
  <si>
    <t>remax_r2_punc_p0_7_n12_s200_mean_c1@step200</t>
  </si>
  <si>
    <t>remax_r2_punc_p0_7_n12_s1k_mean@step270</t>
  </si>
  <si>
    <t>remax_r2_fmt_judge_n12_s200_mean@step200</t>
  </si>
  <si>
    <t>remax_r2_punc_p0_7_n12_s1k_mean@step1000</t>
  </si>
  <si>
    <t>remax_r2_punc_p0_7_n12_s200_mean_binary_adv@step140</t>
  </si>
  <si>
    <t>remax_r2_punc_p0_7_n12_s200_mean_binary_adv@step200</t>
  </si>
  <si>
    <t>remax_r2_punc_p0_n12_e1_sum@step309</t>
  </si>
  <si>
    <t>remax_r2_punc_p0_7_n12_s200_sum@step190</t>
  </si>
  <si>
    <t>WERR</t>
  </si>
  <si>
    <t>Column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</si>
  <si>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</si>
  <si>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</si>
  <si>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</si>
  <si>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</si>
  <si>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</si>
  <si>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</si>
  <si>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</si>
  <si>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</si>
  <si>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</si>
  <si>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</si>
  <si>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A-&gt;B</t>
  </si>
  <si>
    <t>A-&gt;C</t>
  </si>
  <si>
    <t>A-&gt;D</t>
  </si>
  <si>
    <t>A-&gt;E</t>
  </si>
  <si>
    <t>A-&gt;F</t>
  </si>
  <si>
    <t>A-&gt;G</t>
  </si>
  <si>
    <t>A-&gt;H</t>
  </si>
  <si>
    <t>A-&gt;I</t>
  </si>
  <si>
    <t>A-&gt;J</t>
  </si>
  <si>
    <t>en-US_Conversation_DTEST_FY21Q1</t>
  </si>
  <si>
    <t>en-US_Conversation_OnlineMeetings_DTEST_FY25Q3</t>
  </si>
  <si>
    <t>en-US_Dictation_Commonset_OfficeOffline_FY24Q3</t>
  </si>
  <si>
    <t>en-US avg</t>
  </si>
  <si>
    <t>nl-NL_Conversation_DTEST_FY23Q2</t>
  </si>
  <si>
    <t>nl-NL_Conversation_OnlineMeetings_DTEST_FY23Q1</t>
  </si>
  <si>
    <t>nl-NL_Dictation_DTEST_L_D_FY23Q4</t>
  </si>
  <si>
    <t>nl-NL avg</t>
  </si>
  <si>
    <t>da-DK_Conversation_DTEST_FY21Q3</t>
  </si>
  <si>
    <t>da-DK_Conversation_OnlineMeetings_DTEST_FY23Q1</t>
  </si>
  <si>
    <t>da-DK_Dictation_DTEST_L_D_FY23Q4</t>
  </si>
  <si>
    <t>da-DK avg</t>
  </si>
  <si>
    <t>hu-HU_Conversation_DTEST_FY22Q4</t>
  </si>
  <si>
    <t>hu-HU_Conversation_OnlineMeetings_DTEST_FY24Q2</t>
  </si>
  <si>
    <t>hu-HU_Dictation_DTEST_L_D_FY25Q2</t>
  </si>
  <si>
    <t>hu-HU avg</t>
  </si>
  <si>
    <t>nb-NO_Conversation_DTEST_FY21Q3</t>
  </si>
  <si>
    <t>nb-NO_Conversation_OnlineMeetings_DTEST_FY23Q1</t>
  </si>
  <si>
    <t>nb-NO_Dictation_DTEST_L_D_FY23Q4</t>
  </si>
  <si>
    <t>nb-NO avg</t>
  </si>
  <si>
    <t>cs-CZ_Conversation_DTEST_FY23Q2</t>
  </si>
  <si>
    <t>cs-CZ_Conversation_OnlineMeetings_DTEST_FY24Q2</t>
  </si>
  <si>
    <t>cs-CZ_Dictation_DTEST_L_D_FY24Q2</t>
  </si>
  <si>
    <t>cs-CZ avg</t>
  </si>
  <si>
    <t>overall avg</t>
  </si>
  <si>
    <t>Overall improve/degrade</t>
  </si>
  <si>
    <t>Rank</t>
  </si>
  <si>
    <t>Model</t>
  </si>
  <si>
    <t>Direction</t>
  </si>
  <si>
    <t>Baseline overall DTER</t>
  </si>
  <si>
    <t>Model overall DTER</t>
  </si>
  <si>
    <t>DTER delta</t>
  </si>
  <si>
    <t>Datasets</t>
  </si>
  <si>
    <t>improve</t>
  </si>
  <si>
    <t>18/18</t>
  </si>
  <si>
    <t>degrade</t>
  </si>
  <si>
    <t>mean, s200</t>
  </si>
  <si>
    <t>mean, s270</t>
  </si>
  <si>
    <t>mean, s1000</t>
  </si>
  <si>
    <t>geo,s200</t>
  </si>
  <si>
    <t>fmt_judge, with cer</t>
  </si>
  <si>
    <t>mean, b_adv, s140</t>
  </si>
  <si>
    <t>mean, b_adv, s200</t>
  </si>
  <si>
    <t>sum,310</t>
  </si>
  <si>
    <t>sum,190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</si>
</sst>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5" borderId="0" xfId="0" applyFont="1" applyFill="1"/>
    <xf numFmtId="10" fontId="1" fillId="5" borderId="0" xfId="0" applyNumberFormat="1" applyFont="1" applyFill="1" applyAlignment="1">
      <alignment horizontal="center" vertical="center"/>
    </xf>
    <xf numFmtId="0" fontId="1" fillId="6" borderId="0" xfId="0" applyFont="1" applyFill="1"/>
    <xf numFmtId="10" fontId="1" fillId="6" borderId="0" xfId="0" applyNumberFormat="1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8"/>
  <sheetViews>
    <sheetView tabSelected="1" topLeftCell="B1" workbookViewId="0">
      <selection activeCell="F17" sqref="A2:T28"/>
    </sheetView>
  </sheetViews>
  <sheetFormatPr defaultRowHeight="14.5" x14ac:dyDescent="0.35"/>
  <cols>
    <col min="1" max="1" width="60" customWidth="1"/>
    <col min="2" max="20" width="18" customWidth="1"/>
  </cols>
  <sheetData>
    <row r="2" spans="1:20" ht="58" x14ac:dyDescent="0.35">
      <c r="A2" s="1" t="s">
        <v>0</v>
      </c>
      <c r="B2" s="2" t="s">
        <v>1</v>
      </c>
      <c r="C2" s="12" t="s">
        <v>2</v>
      </c>
      <c r="D2" s="12" t="s">
        <v>3</v>
      </c>
      <c r="E2" s="12" t="s">
        <v>4</v>
      </c>
      <c r="F2" s="12" t="s">
        <v>6</v>
      </c>
      <c r="G2" s="12" t="s">
        <v>5</v>
      </c>
      <c r="H2" s="12" t="s">
        <v>7</v>
      </c>
      <c r="I2" s="12" t="s">
        <v>8</v>
      </c>
      <c r="J2" s="12" t="s">
        <v>9</v>
      </c>
      <c r="K2" s="12" t="s">
        <v>10</v>
      </c>
      <c r="L2" s="2" t="s">
        <v>71</v>
      </c>
      <c r="M2" s="12" t="s">
        <v>68</v>
      </c>
      <c r="N2" s="12" t="s">
        <v>69</v>
      </c>
      <c r="O2" s="12" t="s">
        <v>70</v>
      </c>
      <c r="P2" s="2" t="s">
        <v>72</v>
      </c>
      <c r="Q2" s="2" t="s">
        <v>73</v>
      </c>
      <c r="R2" s="2" t="s">
        <v>74</v>
      </c>
      <c r="S2" s="2" t="s">
        <v>75</v>
      </c>
      <c r="T2" s="2" t="s">
        <v>76</v>
      </c>
    </row>
    <row r="3" spans="1:20" x14ac:dyDescent="0.35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18</v>
      </c>
      <c r="G3" s="2" t="s">
        <v>17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27</v>
      </c>
      <c r="P3" s="2" t="s">
        <v>26</v>
      </c>
      <c r="Q3" s="2" t="s">
        <v>28</v>
      </c>
      <c r="R3" s="2" t="s">
        <v>29</v>
      </c>
      <c r="S3" s="2" t="s">
        <v>30</v>
      </c>
      <c r="T3" s="2" t="s">
        <v>31</v>
      </c>
    </row>
    <row r="4" spans="1:20" x14ac:dyDescent="0.35">
      <c r="A4" t="s">
        <v>32</v>
      </c>
      <c r="B4" s="3">
        <v>0.1856739826901927</v>
      </c>
      <c r="C4" s="3">
        <v>0.18113135370343811</v>
      </c>
      <c r="D4" s="3">
        <v>0.1809879022617511</v>
      </c>
      <c r="E4" s="3">
        <v>0.18010328503801459</v>
      </c>
      <c r="F4" s="3">
        <v>0.18050973078946109</v>
      </c>
      <c r="G4" s="3">
        <v>0.18125089657151061</v>
      </c>
      <c r="H4" s="3">
        <v>0.18120307942428149</v>
      </c>
      <c r="I4" s="3">
        <v>0.181800793764644</v>
      </c>
      <c r="J4" s="3">
        <v>0.18122698799789599</v>
      </c>
      <c r="K4" s="3">
        <v>0.1815856166021135</v>
      </c>
      <c r="L4" s="3">
        <f>1-C4/B4</f>
        <v>2.4465619366468849E-2</v>
      </c>
      <c r="M4" s="3">
        <f>1-D4/B4</f>
        <v>2.5238217872778579E-2</v>
      </c>
      <c r="N4" s="3">
        <f>1-E4/B4</f>
        <v>3.0002575328354486E-2</v>
      </c>
      <c r="O4" s="3">
        <f>1-F4/B4</f>
        <v>2.7813546227144048E-2</v>
      </c>
      <c r="P4" s="3">
        <f>1-G4/B4</f>
        <v>2.3821787277877537E-2</v>
      </c>
      <c r="Q4" s="3">
        <f>1-H4/B4</f>
        <v>2.4079320113314706E-2</v>
      </c>
      <c r="R4" s="3">
        <f>1-I4/B4</f>
        <v>2.0860159670357925E-2</v>
      </c>
      <c r="S4" s="3">
        <f>1-J4/B4</f>
        <v>2.3950553695596399E-2</v>
      </c>
      <c r="T4" s="3">
        <f>1-K4/B4</f>
        <v>2.2019057429822353E-2</v>
      </c>
    </row>
    <row r="5" spans="1:20" x14ac:dyDescent="0.35">
      <c r="A5" t="s">
        <v>33</v>
      </c>
      <c r="B5" s="3">
        <v>0.13563384165093639</v>
      </c>
      <c r="C5" s="3">
        <v>0.13970603830409981</v>
      </c>
      <c r="D5" s="3">
        <v>0.13909096693461151</v>
      </c>
      <c r="E5" s="3">
        <v>0.13974845701923691</v>
      </c>
      <c r="F5" s="3">
        <v>0.14176334598824999</v>
      </c>
      <c r="G5" s="3">
        <v>0.1391333856497487</v>
      </c>
      <c r="H5" s="3">
        <v>0.14063925003711639</v>
      </c>
      <c r="I5" s="3">
        <v>0.14116948397633039</v>
      </c>
      <c r="J5" s="3">
        <v>0.1417421366306815</v>
      </c>
      <c r="K5" s="3">
        <v>0.1368851937474814</v>
      </c>
      <c r="L5" s="3">
        <f>1-C5/B5</f>
        <v>-3.0023455824863543E-2</v>
      </c>
      <c r="M5" s="3">
        <f>1-D5/B5</f>
        <v>-2.5488663017982471E-2</v>
      </c>
      <c r="N5" s="3">
        <f>1-E5/B5</f>
        <v>-3.0336200156372284E-2</v>
      </c>
      <c r="O5" s="3">
        <f>1-F5/B5</f>
        <v>-4.519155590304913E-2</v>
      </c>
      <c r="P5" s="3">
        <f>1-G5/B5</f>
        <v>-2.58014073494921E-2</v>
      </c>
      <c r="Q5" s="3">
        <f>1-H5/B5</f>
        <v>-3.690383111806117E-2</v>
      </c>
      <c r="R5" s="3">
        <f>1-I5/B5</f>
        <v>-4.081313526192365E-2</v>
      </c>
      <c r="S5" s="3">
        <f>1-J5/B5</f>
        <v>-4.5035183737295092E-2</v>
      </c>
      <c r="T5" s="3">
        <f>1-K5/B5</f>
        <v>-9.2259577795152925E-3</v>
      </c>
    </row>
    <row r="6" spans="1:20" x14ac:dyDescent="0.35">
      <c r="A6" t="s">
        <v>34</v>
      </c>
      <c r="B6" s="3">
        <v>0.1012948440715942</v>
      </c>
      <c r="C6" s="3">
        <v>0.10546335617330591</v>
      </c>
      <c r="D6" s="3">
        <v>0.10554151577521299</v>
      </c>
      <c r="E6" s="3">
        <v>0.10489018575932051</v>
      </c>
      <c r="F6" s="3">
        <v>0.10439517494724231</v>
      </c>
      <c r="G6" s="3">
        <v>0.1045775473516922</v>
      </c>
      <c r="H6" s="3">
        <v>0.105020451762499</v>
      </c>
      <c r="I6" s="3">
        <v>0.10554151577521299</v>
      </c>
      <c r="J6" s="3">
        <v>0.1067399630044551</v>
      </c>
      <c r="K6" s="3">
        <v>0.1029361957116432</v>
      </c>
      <c r="L6" s="3">
        <f>1-C6/B6</f>
        <v>-4.1152263374485631E-2</v>
      </c>
      <c r="M6" s="3">
        <f>1-D6/B6</f>
        <v>-4.1923868312757184E-2</v>
      </c>
      <c r="N6" s="3">
        <f>1-E6/B6</f>
        <v>-3.5493827160493652E-2</v>
      </c>
      <c r="O6" s="3">
        <f>1-F6/B6</f>
        <v>-3.0606995884774113E-2</v>
      </c>
      <c r="P6" s="3">
        <f>1-G6/B6</f>
        <v>-3.2407407407407884E-2</v>
      </c>
      <c r="Q6" s="3">
        <f>1-H6/B6</f>
        <v>-3.6779835390946314E-2</v>
      </c>
      <c r="R6" s="3">
        <f>1-I6/B6</f>
        <v>-4.1923868312757184E-2</v>
      </c>
      <c r="S6" s="3">
        <f>1-J6/B6</f>
        <v>-5.3755144032921809E-2</v>
      </c>
      <c r="T6" s="3">
        <f>1-K6/B6</f>
        <v>-1.6203703703703942E-2</v>
      </c>
    </row>
    <row r="7" spans="1:20" x14ac:dyDescent="0.35">
      <c r="A7" s="4" t="s">
        <v>35</v>
      </c>
      <c r="B7" s="5">
        <v>0.1408675561375744</v>
      </c>
      <c r="C7" s="5">
        <v>0.1421002493936146</v>
      </c>
      <c r="D7" s="5">
        <v>0.14187346165719189</v>
      </c>
      <c r="E7" s="5">
        <v>0.141580642605524</v>
      </c>
      <c r="F7" s="5">
        <v>0.14222275057498451</v>
      </c>
      <c r="G7" s="5">
        <v>0.14165394319098379</v>
      </c>
      <c r="H7" s="5">
        <v>0.14228759374129901</v>
      </c>
      <c r="I7" s="5">
        <v>0.1428372645053958</v>
      </c>
      <c r="J7" s="5">
        <v>0.14323636254434419</v>
      </c>
      <c r="K7" s="5">
        <v>0.14046900202041271</v>
      </c>
      <c r="L7" s="5">
        <v>-8.7507250770810785E-3</v>
      </c>
      <c r="M7" s="5">
        <v>-7.1407891724553094E-3</v>
      </c>
      <c r="N7" s="5">
        <v>-5.062105764461089E-3</v>
      </c>
      <c r="O7" s="5">
        <v>-9.6203446312828067E-3</v>
      </c>
      <c r="P7" s="5">
        <v>-5.5824568479159184E-3</v>
      </c>
      <c r="Q7" s="5">
        <v>-1.00806576238015E-2</v>
      </c>
      <c r="R7" s="5">
        <v>-1.398269709384126E-2</v>
      </c>
      <c r="S7" s="5">
        <v>-1.6815840863004361E-2</v>
      </c>
      <c r="T7" s="5">
        <v>2.829282540917299E-3</v>
      </c>
    </row>
    <row r="8" spans="1:20" x14ac:dyDescent="0.35">
      <c r="A8" t="s">
        <v>36</v>
      </c>
      <c r="B8" s="3">
        <v>0.24716045084642499</v>
      </c>
      <c r="C8" s="3">
        <v>0.25288306714826581</v>
      </c>
      <c r="D8" s="3">
        <v>0.25201270725444969</v>
      </c>
      <c r="E8" s="3">
        <v>0.25838809347665259</v>
      </c>
      <c r="F8" s="3">
        <v>0.91392140650158837</v>
      </c>
      <c r="G8" s="3">
        <v>0.2486835806606032</v>
      </c>
      <c r="H8" s="3">
        <v>0.25194743026241351</v>
      </c>
      <c r="I8" s="3">
        <v>0.25286130815092039</v>
      </c>
      <c r="J8" s="3">
        <v>0.25586404978458588</v>
      </c>
      <c r="K8" s="3">
        <v>0.24757387179598761</v>
      </c>
      <c r="L8" s="3">
        <f>1-C8/B8</f>
        <v>-2.3153446606215322E-2</v>
      </c>
      <c r="M8" s="3">
        <f>1-D8/B8</f>
        <v>-1.9632009860022892E-2</v>
      </c>
      <c r="N8" s="3">
        <f>1-E8/B8</f>
        <v>-4.5426534025882592E-2</v>
      </c>
      <c r="O8" s="3">
        <f>1-F8/B8</f>
        <v>-2.6976846553393785</v>
      </c>
      <c r="P8" s="3">
        <f>1-G8/B8</f>
        <v>-6.1625143058370302E-3</v>
      </c>
      <c r="Q8" s="3">
        <f>1-H8/B8</f>
        <v>-1.9367902104058476E-2</v>
      </c>
      <c r="R8" s="3">
        <f>1-I8/B8</f>
        <v>-2.3065410687560517E-2</v>
      </c>
      <c r="S8" s="3">
        <f>1-J8/B8</f>
        <v>-3.5214367461924301E-2</v>
      </c>
      <c r="T8" s="3">
        <f>1-K8/B8</f>
        <v>-1.6726824544412988E-3</v>
      </c>
    </row>
    <row r="9" spans="1:20" x14ac:dyDescent="0.35">
      <c r="A9" t="s">
        <v>37</v>
      </c>
      <c r="B9" s="3">
        <v>0.23936101687636879</v>
      </c>
      <c r="C9" s="3">
        <v>0.24580237900974791</v>
      </c>
      <c r="D9" s="3">
        <v>0.24636063039464079</v>
      </c>
      <c r="E9" s="3">
        <v>0.26708034525701041</v>
      </c>
      <c r="F9" s="3">
        <v>0.75816979430583586</v>
      </c>
      <c r="G9" s="3">
        <v>0.2444496929617383</v>
      </c>
      <c r="H9" s="3">
        <v>0.24621033194486189</v>
      </c>
      <c r="I9" s="3">
        <v>0.24651092884441961</v>
      </c>
      <c r="J9" s="3">
        <v>0.2492163009404389</v>
      </c>
      <c r="K9" s="3">
        <v>0.24275346759994851</v>
      </c>
      <c r="L9" s="3">
        <f>1-C9/B9</f>
        <v>-2.6910656620021456E-2</v>
      </c>
      <c r="M9" s="3">
        <f>1-D9/B9</f>
        <v>-2.9242913527089964E-2</v>
      </c>
      <c r="N9" s="3">
        <f>1-E9/B9</f>
        <v>-0.11580552565482627</v>
      </c>
      <c r="O9" s="3">
        <f>1-F9/B9</f>
        <v>-2.1674739863652674</v>
      </c>
      <c r="P9" s="3">
        <f>1-G9/B9</f>
        <v>-2.1259418729816959E-2</v>
      </c>
      <c r="Q9" s="3">
        <f>1-H9/B9</f>
        <v>-2.8614998205956033E-2</v>
      </c>
      <c r="R9" s="3">
        <f>1-I9/B9</f>
        <v>-2.9870828848223674E-2</v>
      </c>
      <c r="S9" s="3">
        <f>1-J9/B9</f>
        <v>-4.1173304628633112E-2</v>
      </c>
      <c r="T9" s="3">
        <f>1-K9/B9</f>
        <v>-1.4172945819878047E-2</v>
      </c>
    </row>
    <row r="10" spans="1:20" x14ac:dyDescent="0.35">
      <c r="A10" t="s">
        <v>38</v>
      </c>
      <c r="B10" s="3">
        <v>0.1572511195315191</v>
      </c>
      <c r="C10" s="3">
        <v>0.1503616947984843</v>
      </c>
      <c r="D10" s="3">
        <v>0.1518626051867526</v>
      </c>
      <c r="E10" s="3">
        <v>0.14571133310368581</v>
      </c>
      <c r="F10" s="3">
        <v>0.77747158112297621</v>
      </c>
      <c r="G10" s="3">
        <v>0.14408739727375619</v>
      </c>
      <c r="H10" s="3">
        <v>0.1451454160720437</v>
      </c>
      <c r="I10" s="3">
        <v>0.14531765169036959</v>
      </c>
      <c r="J10" s="3">
        <v>0.14659711628364749</v>
      </c>
      <c r="K10" s="3">
        <v>0.15033708971015211</v>
      </c>
      <c r="L10" s="3">
        <f>1-C10/B10</f>
        <v>4.3811610076670449E-2</v>
      </c>
      <c r="M10" s="3">
        <f>1-D10/B10</f>
        <v>3.4266937881395787E-2</v>
      </c>
      <c r="N10" s="3">
        <f>1-E10/B10</f>
        <v>7.3384446878422938E-2</v>
      </c>
      <c r="O10" s="3">
        <f>1-F10/B10</f>
        <v>-3.9441401971522456</v>
      </c>
      <c r="P10" s="3">
        <f>1-G10/B10</f>
        <v>8.3711469253637927E-2</v>
      </c>
      <c r="Q10" s="3">
        <f>1-H10/B10</f>
        <v>7.6983257706149111E-2</v>
      </c>
      <c r="R10" s="3">
        <f>1-I10/B10</f>
        <v>7.5887967454232319E-2</v>
      </c>
      <c r="S10" s="3">
        <f>1-J10/B10</f>
        <v>6.775152558285058E-2</v>
      </c>
      <c r="T10" s="3">
        <f>1-K10/B10</f>
        <v>4.3968080112657959E-2</v>
      </c>
    </row>
    <row r="11" spans="1:20" x14ac:dyDescent="0.35">
      <c r="A11" s="4" t="s">
        <v>39</v>
      </c>
      <c r="B11" s="5">
        <v>0.21459086241810429</v>
      </c>
      <c r="C11" s="5">
        <v>0.21634904698549931</v>
      </c>
      <c r="D11" s="5">
        <v>0.21674531427861429</v>
      </c>
      <c r="E11" s="5">
        <v>0.22372659061244959</v>
      </c>
      <c r="F11" s="5">
        <v>0.81652092731013359</v>
      </c>
      <c r="G11" s="5">
        <v>0.21240689029869919</v>
      </c>
      <c r="H11" s="5">
        <v>0.214434392759773</v>
      </c>
      <c r="I11" s="5">
        <v>0.2148966295619032</v>
      </c>
      <c r="J11" s="5">
        <v>0.21722582233622409</v>
      </c>
      <c r="K11" s="5">
        <v>0.21355480970202939</v>
      </c>
      <c r="L11" s="5">
        <v>-8.1931940045489871E-3</v>
      </c>
      <c r="M11" s="5">
        <v>-1.003981174329938E-2</v>
      </c>
      <c r="N11" s="5">
        <v>-4.2572773562675748E-2</v>
      </c>
      <c r="O11" s="5">
        <v>-2.805012562553765</v>
      </c>
      <c r="P11" s="5">
        <v>1.0177377055085811E-2</v>
      </c>
      <c r="Q11" s="5">
        <v>7.2915340647838889E-4</v>
      </c>
      <c r="R11" s="5">
        <v>-1.424884267453574E-3</v>
      </c>
      <c r="S11" s="5">
        <v>-1.2278994028114051E-2</v>
      </c>
      <c r="T11" s="5">
        <v>4.8280374308589113E-3</v>
      </c>
    </row>
    <row r="12" spans="1:20" x14ac:dyDescent="0.35">
      <c r="A12" t="s">
        <v>40</v>
      </c>
      <c r="B12" s="3">
        <v>0.23603157405974309</v>
      </c>
      <c r="C12" s="3">
        <v>0.23333161361330379</v>
      </c>
      <c r="D12" s="3">
        <v>0.2338475296221775</v>
      </c>
      <c r="E12" s="3">
        <v>0.2359627852585599</v>
      </c>
      <c r="F12" s="3">
        <v>0.29236960222875719</v>
      </c>
      <c r="G12" s="3">
        <v>0.2341226848269102</v>
      </c>
      <c r="H12" s="3">
        <v>0.23498254484169981</v>
      </c>
      <c r="I12" s="3">
        <v>0.23570482725412301</v>
      </c>
      <c r="J12" s="3">
        <v>0.23649589846772939</v>
      </c>
      <c r="K12" s="3">
        <v>0.23407109322602279</v>
      </c>
      <c r="L12" s="3">
        <f>1-C12/B12</f>
        <v>1.1438979963570017E-2</v>
      </c>
      <c r="M12" s="3">
        <f>1-D12/B12</f>
        <v>9.2531876138434166E-3</v>
      </c>
      <c r="N12" s="3">
        <f>1-E12/B12</f>
        <v>2.9143897996364299E-4</v>
      </c>
      <c r="O12" s="3">
        <f>1-F12/B12</f>
        <v>-0.23868852459016399</v>
      </c>
      <c r="P12" s="3">
        <f>1-G12/B12</f>
        <v>8.0874316939890667E-3</v>
      </c>
      <c r="Q12" s="3">
        <f>1-H12/B12</f>
        <v>4.444444444444362E-3</v>
      </c>
      <c r="R12" s="3">
        <f>1-I12/B12</f>
        <v>1.3843351548271654E-3</v>
      </c>
      <c r="S12" s="3">
        <f>1-J12/B12</f>
        <v>-1.9672131147536742E-3</v>
      </c>
      <c r="T12" s="3">
        <f>1-K12/B12</f>
        <v>8.3060109289618822E-3</v>
      </c>
    </row>
    <row r="13" spans="1:20" x14ac:dyDescent="0.35">
      <c r="A13" t="s">
        <v>41</v>
      </c>
      <c r="B13" s="3">
        <v>0.24332495761067191</v>
      </c>
      <c r="C13" s="3">
        <v>0.25243610957896673</v>
      </c>
      <c r="D13" s="3">
        <v>0.25165982308839452</v>
      </c>
      <c r="E13" s="3">
        <v>0.25419296847868278</v>
      </c>
      <c r="F13" s="3">
        <v>0.36514065085493658</v>
      </c>
      <c r="G13" s="3">
        <v>0.2522113950685379</v>
      </c>
      <c r="H13" s="3">
        <v>0.25321239606953888</v>
      </c>
      <c r="I13" s="3">
        <v>0.25321239606953888</v>
      </c>
      <c r="J13" s="3">
        <v>0.25560254131682703</v>
      </c>
      <c r="K13" s="3">
        <v>0.24783967641110499</v>
      </c>
      <c r="L13" s="3">
        <f>1-C13/B13</f>
        <v>-3.7444379145327833E-2</v>
      </c>
      <c r="M13" s="3">
        <f>1-D13/B13</f>
        <v>-3.4254050877340125E-2</v>
      </c>
      <c r="N13" s="3">
        <f>1-E13/B13</f>
        <v>-4.4664595751826131E-2</v>
      </c>
      <c r="O13" s="3">
        <f>1-F13/B13</f>
        <v>-0.50062967005289227</v>
      </c>
      <c r="P13" s="3">
        <f>1-G13/B13</f>
        <v>-3.6520863067752263E-2</v>
      </c>
      <c r="Q13" s="3">
        <f>1-H13/B13</f>
        <v>-4.0634707413315097E-2</v>
      </c>
      <c r="R13" s="3">
        <f>1-I13/B13</f>
        <v>-4.0634707413315097E-2</v>
      </c>
      <c r="S13" s="3">
        <f>1-J13/B13</f>
        <v>-5.0457560238434951E-2</v>
      </c>
      <c r="T13" s="3">
        <f>1-K13/B13</f>
        <v>-1.8554277558559207E-2</v>
      </c>
    </row>
    <row r="14" spans="1:20" x14ac:dyDescent="0.35">
      <c r="A14" t="s">
        <v>42</v>
      </c>
      <c r="B14" s="3">
        <v>0.22487747853064161</v>
      </c>
      <c r="C14" s="3">
        <v>0.2168967222696821</v>
      </c>
      <c r="D14" s="3">
        <v>0.21775100040465811</v>
      </c>
      <c r="E14" s="3">
        <v>0.21557034306011419</v>
      </c>
      <c r="F14" s="3">
        <v>0.47540578211411361</v>
      </c>
      <c r="G14" s="3">
        <v>0.21601996313115421</v>
      </c>
      <c r="H14" s="3">
        <v>0.21644710219864219</v>
      </c>
      <c r="I14" s="3">
        <v>0.21635717818443409</v>
      </c>
      <c r="J14" s="3">
        <v>0.2166044692235061</v>
      </c>
      <c r="K14" s="3">
        <v>0.219032417607122</v>
      </c>
      <c r="L14" s="3">
        <f>1-C14/B14</f>
        <v>3.5489353194041895E-2</v>
      </c>
      <c r="M14" s="3">
        <f>1-D14/B14</f>
        <v>3.1690492852144092E-2</v>
      </c>
      <c r="N14" s="3">
        <f>1-E14/B14</f>
        <v>4.1387583724882604E-2</v>
      </c>
      <c r="O14" s="3">
        <f>1-F14/B14</f>
        <v>-1.1140657802659204</v>
      </c>
      <c r="P14" s="3">
        <f>1-G14/B14</f>
        <v>3.9388183544936339E-2</v>
      </c>
      <c r="Q14" s="3">
        <f>1-H14/B14</f>
        <v>3.7488753373987604E-2</v>
      </c>
      <c r="R14" s="3">
        <f>1-I14/B14</f>
        <v>3.7888633409977279E-2</v>
      </c>
      <c r="S14" s="3">
        <f>1-J14/B14</f>
        <v>3.6788963311006895E-2</v>
      </c>
      <c r="T14" s="3">
        <f>1-K14/B14</f>
        <v>2.5992202339298109E-2</v>
      </c>
    </row>
    <row r="15" spans="1:20" x14ac:dyDescent="0.35">
      <c r="A15" s="4" t="s">
        <v>43</v>
      </c>
      <c r="B15" s="5">
        <v>0.23474467006701891</v>
      </c>
      <c r="C15" s="5">
        <v>0.23422148182065089</v>
      </c>
      <c r="D15" s="5">
        <v>0.23441945103841</v>
      </c>
      <c r="E15" s="5">
        <v>0.23524203226578561</v>
      </c>
      <c r="F15" s="5">
        <v>0.37763867839926912</v>
      </c>
      <c r="G15" s="5">
        <v>0.23411801434220081</v>
      </c>
      <c r="H15" s="5">
        <v>0.23488068103662699</v>
      </c>
      <c r="I15" s="5">
        <v>0.2350914671693653</v>
      </c>
      <c r="J15" s="5">
        <v>0.2362343030026875</v>
      </c>
      <c r="K15" s="5">
        <v>0.23364772908141659</v>
      </c>
      <c r="L15" s="5">
        <v>2.2287545281374221E-3</v>
      </c>
      <c r="M15" s="5">
        <v>1.385416028896302E-3</v>
      </c>
      <c r="N15" s="5">
        <v>-2.1187369179662689E-3</v>
      </c>
      <c r="O15" s="5">
        <v>-0.6087209915839813</v>
      </c>
      <c r="P15" s="5">
        <v>2.6695205673430422E-3</v>
      </c>
      <c r="Q15" s="5">
        <v>-5.7939960711039795E-4</v>
      </c>
      <c r="R15" s="5">
        <v>-1.4773374928915839E-3</v>
      </c>
      <c r="S15" s="5">
        <v>-6.345758288115233E-3</v>
      </c>
      <c r="T15" s="5">
        <v>4.6729111476272456E-3</v>
      </c>
    </row>
    <row r="16" spans="1:20" x14ac:dyDescent="0.35">
      <c r="A16" t="s">
        <v>44</v>
      </c>
      <c r="B16" s="3">
        <v>0.22803777294527691</v>
      </c>
      <c r="C16" s="3">
        <v>0.2195775864637016</v>
      </c>
      <c r="D16" s="3">
        <v>0.22035211057821211</v>
      </c>
      <c r="E16" s="3">
        <v>0.2167475945068367</v>
      </c>
      <c r="F16" s="3">
        <v>0.45309660698859072</v>
      </c>
      <c r="G16" s="3">
        <v>0.2177008549554649</v>
      </c>
      <c r="H16" s="3">
        <v>0.21644970061664029</v>
      </c>
      <c r="I16" s="3">
        <v>0.21615180672644399</v>
      </c>
      <c r="J16" s="3">
        <v>0.21647949000566</v>
      </c>
      <c r="K16" s="3">
        <v>0.2205904256903691</v>
      </c>
      <c r="L16" s="3">
        <f>1-C16/B16</f>
        <v>3.709993468321382E-2</v>
      </c>
      <c r="M16" s="3">
        <f>1-D16/B16</f>
        <v>3.3703461789679756E-2</v>
      </c>
      <c r="N16" s="3">
        <f>1-E16/B16</f>
        <v>4.9510124101894148E-2</v>
      </c>
      <c r="O16" s="3">
        <f>1-F16/B16</f>
        <v>-0.9869366427171784</v>
      </c>
      <c r="P16" s="3">
        <f>1-G16/B16</f>
        <v>4.5329849771391206E-2</v>
      </c>
      <c r="Q16" s="3">
        <f>1-H16/B16</f>
        <v>5.0816459830176686E-2</v>
      </c>
      <c r="R16" s="3">
        <f>1-I16/B16</f>
        <v>5.2122795558458779E-2</v>
      </c>
      <c r="S16" s="3">
        <f>1-J16/B16</f>
        <v>5.0685826257348188E-2</v>
      </c>
      <c r="T16" s="3">
        <f>1-K16/B16</f>
        <v>3.2658393207054215E-2</v>
      </c>
    </row>
    <row r="17" spans="1:20" x14ac:dyDescent="0.35">
      <c r="A17" t="s">
        <v>45</v>
      </c>
      <c r="B17" s="3">
        <v>0.21928295957720331</v>
      </c>
      <c r="C17" s="3">
        <v>0.2095700614197972</v>
      </c>
      <c r="D17" s="3">
        <v>0.2098271675474932</v>
      </c>
      <c r="E17" s="3">
        <v>0.21025567776031989</v>
      </c>
      <c r="F17" s="3">
        <v>0.5294957863162405</v>
      </c>
      <c r="G17" s="3">
        <v>0.20779888587344661</v>
      </c>
      <c r="H17" s="3">
        <v>0.20779888587344661</v>
      </c>
      <c r="I17" s="3">
        <v>0.20694186544779319</v>
      </c>
      <c r="J17" s="3">
        <v>0.20782745322096841</v>
      </c>
      <c r="K17" s="3">
        <v>0.21048421654049421</v>
      </c>
      <c r="L17" s="3">
        <f>1-C17/B17</f>
        <v>4.4293903074518082E-2</v>
      </c>
      <c r="M17" s="3">
        <f>1-D17/B17</f>
        <v>4.3121417404898721E-2</v>
      </c>
      <c r="N17" s="3">
        <f>1-E17/B17</f>
        <v>4.1167274622199601E-2</v>
      </c>
      <c r="O17" s="3">
        <f>1-F17/B17</f>
        <v>-1.4146690984887953</v>
      </c>
      <c r="P17" s="3">
        <f>1-G17/B17</f>
        <v>5.2371026576342294E-2</v>
      </c>
      <c r="Q17" s="3">
        <f>1-H17/B17</f>
        <v>5.2371026576342294E-2</v>
      </c>
      <c r="R17" s="3">
        <f>1-I17/B17</f>
        <v>5.6279312141740645E-2</v>
      </c>
      <c r="S17" s="3">
        <f>1-J17/B17</f>
        <v>5.2240750390828872E-2</v>
      </c>
      <c r="T17" s="3">
        <f>1-K17/B17</f>
        <v>4.0125065138092997E-2</v>
      </c>
    </row>
    <row r="18" spans="1:20" x14ac:dyDescent="0.35">
      <c r="A18" t="s">
        <v>46</v>
      </c>
      <c r="B18" s="3">
        <v>0.24300598109203159</v>
      </c>
      <c r="C18" s="3">
        <v>0.2244838896392051</v>
      </c>
      <c r="D18" s="3">
        <v>0.2262846485304521</v>
      </c>
      <c r="E18" s="3">
        <v>0.22023924368126571</v>
      </c>
      <c r="F18" s="3">
        <v>0.7109460415460801</v>
      </c>
      <c r="G18" s="3">
        <v>0.2213325615795228</v>
      </c>
      <c r="H18" s="3">
        <v>0.220882371856711</v>
      </c>
      <c r="I18" s="3">
        <v>0.2204964949514438</v>
      </c>
      <c r="J18" s="3">
        <v>0.21872789246896909</v>
      </c>
      <c r="K18" s="3">
        <v>0.22798893819538241</v>
      </c>
      <c r="L18" s="3">
        <f>1-C18/B18</f>
        <v>7.622072250893186E-2</v>
      </c>
      <c r="M18" s="3">
        <f>1-D18/B18</f>
        <v>6.8810374487230264E-2</v>
      </c>
      <c r="N18" s="3">
        <f>1-E18/B18</f>
        <v>9.3687971417228733E-2</v>
      </c>
      <c r="O18" s="3">
        <f>1-F18/B18</f>
        <v>-1.925631864496494</v>
      </c>
      <c r="P18" s="3">
        <f>1-G18/B18</f>
        <v>8.918883154690993E-2</v>
      </c>
      <c r="Q18" s="3">
        <f>1-H18/B18</f>
        <v>9.1041418552335496E-2</v>
      </c>
      <c r="R18" s="3">
        <f>1-I18/B18</f>
        <v>9.2629350271271504E-2</v>
      </c>
      <c r="S18" s="3">
        <f>1-J18/B18</f>
        <v>9.9907370649728433E-2</v>
      </c>
      <c r="T18" s="3">
        <f>1-K18/B18</f>
        <v>6.1797009395262226E-2</v>
      </c>
    </row>
    <row r="19" spans="1:20" x14ac:dyDescent="0.35">
      <c r="A19" s="4" t="s">
        <v>47</v>
      </c>
      <c r="B19" s="5">
        <v>0.23010890453817059</v>
      </c>
      <c r="C19" s="5">
        <v>0.2178771791742346</v>
      </c>
      <c r="D19" s="5">
        <v>0.21882130888538581</v>
      </c>
      <c r="E19" s="5">
        <v>0.21574750531614079</v>
      </c>
      <c r="F19" s="5">
        <v>0.56451281161697042</v>
      </c>
      <c r="G19" s="5">
        <v>0.2156107674694781</v>
      </c>
      <c r="H19" s="5">
        <v>0.215043652782266</v>
      </c>
      <c r="I19" s="5">
        <v>0.21453005570856029</v>
      </c>
      <c r="J19" s="5">
        <v>0.21434494523186581</v>
      </c>
      <c r="K19" s="5">
        <v>0.21968786014208189</v>
      </c>
      <c r="L19" s="5">
        <v>5.3156245250417733E-2</v>
      </c>
      <c r="M19" s="5">
        <v>4.9053276210405887E-2</v>
      </c>
      <c r="N19" s="5">
        <v>6.2411314550617769E-2</v>
      </c>
      <c r="O19" s="5">
        <v>-1.4532419236445879</v>
      </c>
      <c r="P19" s="5">
        <v>6.3005545560221865E-2</v>
      </c>
      <c r="Q19" s="5">
        <v>6.5470094632542053E-2</v>
      </c>
      <c r="R19" s="5">
        <v>6.7702068552614625E-2</v>
      </c>
      <c r="S19" s="5">
        <v>6.8506515807995716E-2</v>
      </c>
      <c r="T19" s="5">
        <v>4.5287445164296392E-2</v>
      </c>
    </row>
    <row r="20" spans="1:20" x14ac:dyDescent="0.35">
      <c r="A20" t="s">
        <v>48</v>
      </c>
      <c r="B20" s="3">
        <v>0.21883527595033109</v>
      </c>
      <c r="C20" s="3">
        <v>0.2195756562942906</v>
      </c>
      <c r="D20" s="3">
        <v>0.21966027119074311</v>
      </c>
      <c r="E20" s="3">
        <v>0.2231717893935227</v>
      </c>
      <c r="F20" s="3">
        <v>0.48537219977577051</v>
      </c>
      <c r="G20" s="3">
        <v>0.2203160366382502</v>
      </c>
      <c r="H20" s="3">
        <v>0.22023142174179761</v>
      </c>
      <c r="I20" s="3">
        <v>0.22008334567300569</v>
      </c>
      <c r="J20" s="3">
        <v>0.22158526008503801</v>
      </c>
      <c r="K20" s="3">
        <v>0.21961796374251691</v>
      </c>
      <c r="L20" s="3">
        <f>1-C20/B20</f>
        <v>-3.383276945384095E-3</v>
      </c>
      <c r="M20" s="3">
        <f>1-D20/B20</f>
        <v>-3.7699371677135662E-3</v>
      </c>
      <c r="N20" s="3">
        <f>1-E20/B20</f>
        <v>-1.9816336394393064E-2</v>
      </c>
      <c r="O20" s="3">
        <f>1-F20/B20</f>
        <v>-1.2179797003383275</v>
      </c>
      <c r="P20" s="3">
        <f>1-G20/B20</f>
        <v>-6.766553890768412E-3</v>
      </c>
      <c r="Q20" s="3">
        <f>1-H20/B20</f>
        <v>-6.3798936684384966E-3</v>
      </c>
      <c r="R20" s="3">
        <f>1-I20/B20</f>
        <v>-5.7032382793615888E-3</v>
      </c>
      <c r="S20" s="3">
        <f>1-J20/B20</f>
        <v>-1.2566457225712924E-2</v>
      </c>
      <c r="T20" s="3">
        <f>1-K20/B20</f>
        <v>-3.5766070565490526E-3</v>
      </c>
    </row>
    <row r="21" spans="1:20" x14ac:dyDescent="0.35">
      <c r="A21" t="s">
        <v>49</v>
      </c>
      <c r="B21" s="3">
        <v>0.20536372249710499</v>
      </c>
      <c r="C21" s="3">
        <v>0.20231076955468999</v>
      </c>
      <c r="D21" s="3">
        <v>0.2025213180334772</v>
      </c>
      <c r="E21" s="3">
        <v>0.20170544267817661</v>
      </c>
      <c r="F21" s="3">
        <v>0.33124539425202648</v>
      </c>
      <c r="G21" s="3">
        <v>0.2007842930834825</v>
      </c>
      <c r="H21" s="3">
        <v>0.20173176123802511</v>
      </c>
      <c r="I21" s="3">
        <v>0.2014948941993894</v>
      </c>
      <c r="J21" s="3">
        <v>0.20217917675544789</v>
      </c>
      <c r="K21" s="3">
        <v>0.20188967259711549</v>
      </c>
      <c r="L21" s="3">
        <f>1-C21/B21</f>
        <v>1.486607714981425E-2</v>
      </c>
      <c r="M21" s="3">
        <f>1-D21/B21</f>
        <v>1.3840830449827202E-2</v>
      </c>
      <c r="N21" s="3">
        <f>1-E21/B21</f>
        <v>1.7813661412277693E-2</v>
      </c>
      <c r="O21" s="3">
        <f>1-F21/B21</f>
        <v>-0.61296937075483737</v>
      </c>
      <c r="P21" s="3">
        <f>1-G21/B21</f>
        <v>2.2299115724721319E-2</v>
      </c>
      <c r="Q21" s="3">
        <f>1-H21/B21</f>
        <v>1.7685505574778881E-2</v>
      </c>
      <c r="R21" s="3">
        <f>1-I21/B21</f>
        <v>1.8838908112264741E-2</v>
      </c>
      <c r="S21" s="3">
        <f>1-J21/B21</f>
        <v>1.550685633730664E-2</v>
      </c>
      <c r="T21" s="3">
        <f>1-K21/B21</f>
        <v>1.6916570549788679E-2</v>
      </c>
    </row>
    <row r="22" spans="1:20" x14ac:dyDescent="0.35">
      <c r="A22" t="s">
        <v>50</v>
      </c>
      <c r="B22" s="3">
        <v>0.21142336395655281</v>
      </c>
      <c r="C22" s="3">
        <v>0.20814758257185781</v>
      </c>
      <c r="D22" s="3">
        <v>0.20812295263663461</v>
      </c>
      <c r="E22" s="3">
        <v>0.20822147237752761</v>
      </c>
      <c r="F22" s="3">
        <v>0.31829265289032288</v>
      </c>
      <c r="G22" s="3">
        <v>0.20654663678234519</v>
      </c>
      <c r="H22" s="3">
        <v>0.20918203985123521</v>
      </c>
      <c r="I22" s="3">
        <v>0.20932981946257481</v>
      </c>
      <c r="J22" s="3">
        <v>0.21016723726016601</v>
      </c>
      <c r="K22" s="3">
        <v>0.2078520233491786</v>
      </c>
      <c r="L22" s="3">
        <f>1-C22/B22</f>
        <v>1.5493942218080314E-2</v>
      </c>
      <c r="M22" s="3">
        <f>1-D22/B22</f>
        <v>1.561043802423101E-2</v>
      </c>
      <c r="N22" s="3">
        <f>1-E22/B22</f>
        <v>1.5144454799627449E-2</v>
      </c>
      <c r="O22" s="3">
        <f>1-F22/B22</f>
        <v>-0.5054753028890957</v>
      </c>
      <c r="P22" s="3">
        <f>1-G22/B22</f>
        <v>2.3066169617894206E-2</v>
      </c>
      <c r="Q22" s="3">
        <f>1-H22/B22</f>
        <v>1.0601118359739092E-2</v>
      </c>
      <c r="R22" s="3">
        <f>1-I22/B22</f>
        <v>9.9021435228332511E-3</v>
      </c>
      <c r="S22" s="3">
        <f>1-J22/B22</f>
        <v>5.9412861137000395E-3</v>
      </c>
      <c r="T22" s="3">
        <f>1-K22/B22</f>
        <v>1.6891891891891886E-2</v>
      </c>
    </row>
    <row r="23" spans="1:20" x14ac:dyDescent="0.35">
      <c r="A23" s="4" t="s">
        <v>51</v>
      </c>
      <c r="B23" s="5">
        <v>0.21187412080132961</v>
      </c>
      <c r="C23" s="5">
        <v>0.2100113361402795</v>
      </c>
      <c r="D23" s="5">
        <v>0.21010151395361831</v>
      </c>
      <c r="E23" s="5">
        <v>0.2110329014830756</v>
      </c>
      <c r="F23" s="5">
        <v>0.37830341563937331</v>
      </c>
      <c r="G23" s="5">
        <v>0.20921565550135929</v>
      </c>
      <c r="H23" s="5">
        <v>0.210381740943686</v>
      </c>
      <c r="I23" s="5">
        <v>0.21030268644499001</v>
      </c>
      <c r="J23" s="5">
        <v>0.21131055803355059</v>
      </c>
      <c r="K23" s="5">
        <v>0.20978655322960371</v>
      </c>
      <c r="L23" s="5">
        <v>8.791940488082739E-3</v>
      </c>
      <c r="M23" s="5">
        <v>8.3663207238671156E-3</v>
      </c>
      <c r="N23" s="5">
        <v>3.9703731398266218E-3</v>
      </c>
      <c r="O23" s="5">
        <v>-0.78551025584715584</v>
      </c>
      <c r="P23" s="5">
        <v>1.25473809161577E-2</v>
      </c>
      <c r="Q23" s="5">
        <v>7.0437099726918806E-3</v>
      </c>
      <c r="R23" s="5">
        <v>7.4168300989112526E-3</v>
      </c>
      <c r="S23" s="5">
        <v>2.6598943072780878E-3</v>
      </c>
      <c r="T23" s="5">
        <v>9.8528671827901038E-3</v>
      </c>
    </row>
    <row r="24" spans="1:20" x14ac:dyDescent="0.35">
      <c r="A24" t="s">
        <v>52</v>
      </c>
      <c r="B24" s="3">
        <v>0.23751191278677861</v>
      </c>
      <c r="C24" s="3">
        <v>0.2412775156319007</v>
      </c>
      <c r="D24" s="3">
        <v>0.2410915599358453</v>
      </c>
      <c r="E24" s="3">
        <v>0.24311382813044791</v>
      </c>
      <c r="F24" s="3">
        <v>0.82678226912438113</v>
      </c>
      <c r="G24" s="3">
        <v>0.2419051161060877</v>
      </c>
      <c r="H24" s="3">
        <v>0.2422305385741847</v>
      </c>
      <c r="I24" s="3">
        <v>0.24230027196020551</v>
      </c>
      <c r="J24" s="3">
        <v>0.24411333999674581</v>
      </c>
      <c r="K24" s="3">
        <v>0.23797680202691709</v>
      </c>
      <c r="L24" s="3">
        <f>1-C24/B24</f>
        <v>-1.5854374633000434E-2</v>
      </c>
      <c r="M24" s="3">
        <f>1-D24/B24</f>
        <v>-1.5071442552358372E-2</v>
      </c>
      <c r="N24" s="3">
        <f>1-E24/B24</f>
        <v>-2.3585828929340025E-2</v>
      </c>
      <c r="O24" s="3">
        <f>1-F24/B24</f>
        <v>-2.4810138970444306</v>
      </c>
      <c r="P24" s="3">
        <f>1-G24/B24</f>
        <v>-1.8496770405167062E-2</v>
      </c>
      <c r="Q24" s="3">
        <f>1-H24/B24</f>
        <v>-1.9866901546290672E-2</v>
      </c>
      <c r="R24" s="3">
        <f>1-I24/B24</f>
        <v>-2.0160501076531556E-2</v>
      </c>
      <c r="S24" s="3">
        <f>1-J24/B24</f>
        <v>-2.7794088862791E-2</v>
      </c>
      <c r="T24" s="3">
        <f>1-K24/B24</f>
        <v>-1.9573302016047123E-3</v>
      </c>
    </row>
    <row r="25" spans="1:20" x14ac:dyDescent="0.35">
      <c r="A25" t="s">
        <v>53</v>
      </c>
      <c r="B25" s="3">
        <v>0.14422473320778409</v>
      </c>
      <c r="C25" s="3">
        <v>0.14207993304038499</v>
      </c>
      <c r="D25" s="3">
        <v>0.14210608913998751</v>
      </c>
      <c r="E25" s="3">
        <v>0.1405367231638418</v>
      </c>
      <c r="F25" s="3">
        <v>0.79650554509311566</v>
      </c>
      <c r="G25" s="3">
        <v>0.14045825486503449</v>
      </c>
      <c r="H25" s="3">
        <v>0.14187068424356561</v>
      </c>
      <c r="I25" s="3">
        <v>0.1416091232475413</v>
      </c>
      <c r="J25" s="3">
        <v>0.14176605984515589</v>
      </c>
      <c r="K25" s="3">
        <v>0.1416091232475413</v>
      </c>
      <c r="L25" s="3">
        <f>1-C25/B25</f>
        <v>1.4871236851650704E-2</v>
      </c>
      <c r="M25" s="3">
        <f>1-D25/B25</f>
        <v>1.4689880304678771E-2</v>
      </c>
      <c r="N25" s="3">
        <f>1-E25/B25</f>
        <v>2.5571273122960037E-2</v>
      </c>
      <c r="O25" s="3">
        <f>1-F25/B25</f>
        <v>-4.5226695683714162</v>
      </c>
      <c r="P25" s="3">
        <f>1-G25/B25</f>
        <v>2.6115342763874283E-2</v>
      </c>
      <c r="Q25" s="3">
        <f>1-H25/B25</f>
        <v>1.6322089227421288E-2</v>
      </c>
      <c r="R25" s="3">
        <f>1-I25/B25</f>
        <v>1.8135654697134962E-2</v>
      </c>
      <c r="S25" s="3">
        <f>1-J25/B25</f>
        <v>1.7047515415306691E-2</v>
      </c>
      <c r="T25" s="3">
        <f>1-K25/B25</f>
        <v>1.8135654697134962E-2</v>
      </c>
    </row>
    <row r="26" spans="1:20" x14ac:dyDescent="0.35">
      <c r="A26" t="s">
        <v>54</v>
      </c>
      <c r="B26" s="3">
        <v>0.13068879917755319</v>
      </c>
      <c r="C26" s="3">
        <v>0.12973596449437069</v>
      </c>
      <c r="D26" s="3">
        <v>0.1289837265865951</v>
      </c>
      <c r="E26" s="3">
        <v>0.13078909756525661</v>
      </c>
      <c r="F26" s="3">
        <v>0.48637195657079813</v>
      </c>
      <c r="G26" s="3">
        <v>0.1296356661066673</v>
      </c>
      <c r="H26" s="3">
        <v>0.13026253102981369</v>
      </c>
      <c r="I26" s="3">
        <v>0.1308141721621825</v>
      </c>
      <c r="J26" s="3">
        <v>0.13043805320829471</v>
      </c>
      <c r="K26" s="3">
        <v>0.12798074270956089</v>
      </c>
      <c r="L26" s="3">
        <f>1-C26/B26</f>
        <v>7.2908672294706989E-3</v>
      </c>
      <c r="M26" s="3">
        <f>1-D26/B26</f>
        <v>1.3046815042210169E-2</v>
      </c>
      <c r="N26" s="3">
        <f>1-E26/B26</f>
        <v>-7.6745970836533672E-4</v>
      </c>
      <c r="O26" s="3">
        <f>1-F26/B26</f>
        <v>-2.7216039907904843</v>
      </c>
      <c r="P26" s="3">
        <f>1-G26/B26</f>
        <v>8.0583269378358136E-3</v>
      </c>
      <c r="Q26" s="3">
        <f>1-H26/B26</f>
        <v>3.261703760552348E-3</v>
      </c>
      <c r="R26" s="3">
        <f>1-I26/B26</f>
        <v>-9.5932463545689295E-4</v>
      </c>
      <c r="S26" s="3">
        <f>1-J26/B26</f>
        <v>1.9186492709127867E-3</v>
      </c>
      <c r="T26" s="3">
        <f>1-K26/B26</f>
        <v>2.0721412125863536E-2</v>
      </c>
    </row>
    <row r="27" spans="1:20" x14ac:dyDescent="0.35">
      <c r="A27" s="4" t="s">
        <v>55</v>
      </c>
      <c r="B27" s="5">
        <v>0.17080848172403859</v>
      </c>
      <c r="C27" s="5">
        <v>0.17103113772221881</v>
      </c>
      <c r="D27" s="5">
        <v>0.17072712522080929</v>
      </c>
      <c r="E27" s="5">
        <v>0.17147988295318209</v>
      </c>
      <c r="F27" s="5">
        <v>0.70321992359609842</v>
      </c>
      <c r="G27" s="5">
        <v>0.17066634569259651</v>
      </c>
      <c r="H27" s="5">
        <v>0.17145458461585469</v>
      </c>
      <c r="I27" s="5">
        <v>0.17157452245664309</v>
      </c>
      <c r="J27" s="5">
        <v>0.1721058176833988</v>
      </c>
      <c r="K27" s="5">
        <v>0.16918888932800641</v>
      </c>
      <c r="L27" s="5">
        <v>-1.303541814392517E-3</v>
      </c>
      <c r="M27" s="5">
        <v>4.7630247870678039E-4</v>
      </c>
      <c r="N27" s="5">
        <v>-3.9307253502094408E-3</v>
      </c>
      <c r="O27" s="5">
        <v>-3.117008221712513</v>
      </c>
      <c r="P27" s="5">
        <v>8.3213684711369584E-4</v>
      </c>
      <c r="Q27" s="5">
        <v>-3.782615976060999E-3</v>
      </c>
      <c r="R27" s="5">
        <v>-4.4847932893758991E-3</v>
      </c>
      <c r="S27" s="5">
        <v>-7.5952666182945716E-3</v>
      </c>
      <c r="T27" s="5">
        <v>9.4819202166367411E-3</v>
      </c>
    </row>
    <row r="28" spans="1:20" x14ac:dyDescent="0.35">
      <c r="A28" s="6" t="s">
        <v>56</v>
      </c>
      <c r="B28" s="7">
        <v>0.2004990992810394</v>
      </c>
      <c r="C28" s="7">
        <v>0.19859840520608299</v>
      </c>
      <c r="D28" s="7">
        <v>0.1987813625056716</v>
      </c>
      <c r="E28" s="7">
        <v>0.19980159253935961</v>
      </c>
      <c r="F28" s="7">
        <v>0.4970697511894715</v>
      </c>
      <c r="G28" s="7">
        <v>0.1972786027492196</v>
      </c>
      <c r="H28" s="7">
        <v>0.19808044097991759</v>
      </c>
      <c r="I28" s="7">
        <v>0.19820543764114301</v>
      </c>
      <c r="J28" s="7">
        <v>0.19907630147201191</v>
      </c>
      <c r="K28" s="7">
        <v>0.19772247391725839</v>
      </c>
      <c r="L28" s="7">
        <v>9.4798135341856993E-3</v>
      </c>
      <c r="M28" s="7">
        <v>8.567304200005621E-3</v>
      </c>
      <c r="N28" s="7">
        <v>3.478852245127007E-3</v>
      </c>
      <c r="O28" s="7">
        <v>-1.479162016048408</v>
      </c>
      <c r="P28" s="7">
        <v>1.6062399000135289E-2</v>
      </c>
      <c r="Q28" s="7">
        <v>1.20631878636599E-2</v>
      </c>
      <c r="R28" s="7">
        <v>1.1439760318730509E-2</v>
      </c>
      <c r="S28" s="7">
        <v>7.0962803031509036E-3</v>
      </c>
      <c r="T28" s="7">
        <v>1.3848567767823059E-2</v>
      </c>
    </row>
  </sheetData>
  <conditionalFormatting sqref="L4:L28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M4:M28">
    <cfRule type="colorScale" priority="3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N4:N28">
    <cfRule type="colorScale" priority="4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P4:P28">
    <cfRule type="colorScale" priority="5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O4:O28">
    <cfRule type="colorScale" priority="6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Q4:Q28">
    <cfRule type="colorScale" priority="7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R4:R28">
    <cfRule type="colorScale" priority="8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S4:S28">
    <cfRule type="colorScale" priority="9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T4:T28">
    <cfRule type="colorScale" priority="10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L4:T2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42" customWidth="1"/>
    <col min="3" max="3" width="14" customWidth="1"/>
    <col min="4" max="5" width="22" customWidth="1"/>
    <col min="6" max="7" width="14" customWidth="1"/>
    <col min="8" max="8" width="12" customWidth="1"/>
  </cols>
  <sheetData>
    <row r="1" spans="1:8" ht="18.5" x14ac:dyDescent="0.45">
      <c r="A1" s="8" t="s">
        <v>57</v>
      </c>
    </row>
    <row r="2" spans="1:8" x14ac:dyDescent="0.3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11</v>
      </c>
      <c r="H2" s="2" t="s">
        <v>64</v>
      </c>
    </row>
    <row r="3" spans="1:8" x14ac:dyDescent="0.35">
      <c r="A3" s="9">
        <v>1</v>
      </c>
      <c r="B3" t="s">
        <v>5</v>
      </c>
      <c r="C3" s="10" t="s">
        <v>65</v>
      </c>
      <c r="D3" s="3">
        <v>0.2004990992810394</v>
      </c>
      <c r="E3" s="3">
        <v>0.1972786027492196</v>
      </c>
      <c r="F3" s="3">
        <v>3.2204965318198002E-3</v>
      </c>
      <c r="G3" s="3">
        <v>1.6062399000135289E-2</v>
      </c>
      <c r="H3" s="9" t="s">
        <v>66</v>
      </c>
    </row>
    <row r="4" spans="1:8" x14ac:dyDescent="0.35">
      <c r="A4" s="9">
        <v>2</v>
      </c>
      <c r="B4" t="s">
        <v>10</v>
      </c>
      <c r="C4" s="10" t="s">
        <v>65</v>
      </c>
      <c r="D4" s="3">
        <v>0.2004990992810394</v>
      </c>
      <c r="E4" s="3">
        <v>0.19772247391725839</v>
      </c>
      <c r="F4" s="3">
        <v>2.776625363780955E-3</v>
      </c>
      <c r="G4" s="3">
        <v>1.3848567767823059E-2</v>
      </c>
      <c r="H4" s="9" t="s">
        <v>66</v>
      </c>
    </row>
    <row r="5" spans="1:8" x14ac:dyDescent="0.35">
      <c r="A5" s="9">
        <v>3</v>
      </c>
      <c r="B5" t="s">
        <v>7</v>
      </c>
      <c r="C5" s="10" t="s">
        <v>65</v>
      </c>
      <c r="D5" s="3">
        <v>0.2004990992810394</v>
      </c>
      <c r="E5" s="3">
        <v>0.19808044097991759</v>
      </c>
      <c r="F5" s="3">
        <v>2.4186583011217839E-3</v>
      </c>
      <c r="G5" s="3">
        <v>1.20631878636599E-2</v>
      </c>
      <c r="H5" s="9" t="s">
        <v>66</v>
      </c>
    </row>
    <row r="6" spans="1:8" x14ac:dyDescent="0.35">
      <c r="A6" s="9">
        <v>4</v>
      </c>
      <c r="B6" t="s">
        <v>8</v>
      </c>
      <c r="C6" s="10" t="s">
        <v>65</v>
      </c>
      <c r="D6" s="3">
        <v>0.2004990992810394</v>
      </c>
      <c r="E6" s="3">
        <v>0.19820543764114301</v>
      </c>
      <c r="F6" s="3">
        <v>2.2936616398964442E-3</v>
      </c>
      <c r="G6" s="3">
        <v>1.1439760318730509E-2</v>
      </c>
      <c r="H6" s="9" t="s">
        <v>66</v>
      </c>
    </row>
    <row r="7" spans="1:8" x14ac:dyDescent="0.35">
      <c r="A7" s="9">
        <v>5</v>
      </c>
      <c r="B7" t="s">
        <v>2</v>
      </c>
      <c r="C7" s="10" t="s">
        <v>65</v>
      </c>
      <c r="D7" s="3">
        <v>0.2004990992810394</v>
      </c>
      <c r="E7" s="3">
        <v>0.19859840520608299</v>
      </c>
      <c r="F7" s="3">
        <v>1.9006940749564381E-3</v>
      </c>
      <c r="G7" s="3">
        <v>9.4798135341856993E-3</v>
      </c>
      <c r="H7" s="9" t="s">
        <v>66</v>
      </c>
    </row>
    <row r="8" spans="1:8" x14ac:dyDescent="0.35">
      <c r="A8" s="9">
        <v>6</v>
      </c>
      <c r="B8" t="s">
        <v>3</v>
      </c>
      <c r="C8" s="10" t="s">
        <v>65</v>
      </c>
      <c r="D8" s="3">
        <v>0.2004990992810394</v>
      </c>
      <c r="E8" s="3">
        <v>0.1987813625056716</v>
      </c>
      <c r="F8" s="3">
        <v>1.717736775367795E-3</v>
      </c>
      <c r="G8" s="3">
        <v>8.567304200005621E-3</v>
      </c>
      <c r="H8" s="9" t="s">
        <v>66</v>
      </c>
    </row>
    <row r="9" spans="1:8" x14ac:dyDescent="0.35">
      <c r="A9" s="9">
        <v>7</v>
      </c>
      <c r="B9" t="s">
        <v>9</v>
      </c>
      <c r="C9" s="10" t="s">
        <v>65</v>
      </c>
      <c r="D9" s="3">
        <v>0.2004990992810394</v>
      </c>
      <c r="E9" s="3">
        <v>0.19907630147201191</v>
      </c>
      <c r="F9" s="3">
        <v>1.422797809027543E-3</v>
      </c>
      <c r="G9" s="3">
        <v>7.0962803031509036E-3</v>
      </c>
      <c r="H9" s="9" t="s">
        <v>66</v>
      </c>
    </row>
    <row r="10" spans="1:8" x14ac:dyDescent="0.35">
      <c r="A10" s="9">
        <v>8</v>
      </c>
      <c r="B10" t="s">
        <v>4</v>
      </c>
      <c r="C10" s="10" t="s">
        <v>65</v>
      </c>
      <c r="D10" s="3">
        <v>0.2004990992810394</v>
      </c>
      <c r="E10" s="3">
        <v>0.19980159253935961</v>
      </c>
      <c r="F10" s="3">
        <v>6.9750674167978755E-4</v>
      </c>
      <c r="G10" s="3">
        <v>3.478852245127007E-3</v>
      </c>
      <c r="H10" s="9" t="s">
        <v>66</v>
      </c>
    </row>
    <row r="11" spans="1:8" x14ac:dyDescent="0.35">
      <c r="A11" s="9">
        <v>9</v>
      </c>
      <c r="B11" t="s">
        <v>6</v>
      </c>
      <c r="C11" s="11" t="s">
        <v>67</v>
      </c>
      <c r="D11" s="3">
        <v>0.2004990992810394</v>
      </c>
      <c r="E11" s="3">
        <v>0.4970697511894715</v>
      </c>
      <c r="F11" s="3">
        <v>-0.29657065190843213</v>
      </c>
      <c r="G11" s="3">
        <v>-1.479162016048408</v>
      </c>
      <c r="H11" s="9" t="s">
        <v>66</v>
      </c>
    </row>
  </sheetData>
  <autoFilter ref="A2:H11" xr:uid="{00000000-0009-0000-0000-000001000000}"/>
  <conditionalFormatting sqref="F3:F1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conditionalFormatting sqref="G3:G11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inhouse_dter</vt:lpstr>
      <vt:lpstr>overall_improve_degrade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Ren</cp:lastModifiedBy>
  <dcterms:created xsi:type="dcterms:W3CDTF">2026-06-12T22:52:20Z</dcterms:created>
  <dcterms:modified xsi:type="dcterms:W3CDTF">2026-06-12T22:58:19Z</dcterms:modified>
</cp:coreProperties>
</file>